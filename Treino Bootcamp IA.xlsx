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C5D2B363-3819-4968-AD5C-B73359881E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  <sheet name="Apoio" sheetId="2" r:id="rId2"/>
  </sheets>
  <definedNames>
    <definedName name="aporte">Planilha1!$B$4:$B$4</definedName>
    <definedName name="salario">Planilha1!$B$2:$B$2</definedName>
    <definedName name="taxa_mensal">Planilha1!$B$3:$B$3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A4" i="2"/>
  <c r="A3" i="2"/>
  <c r="A2" i="2"/>
  <c r="D10" i="1" a="1"/>
  <c r="D10" i="1"/>
  <c r="D32" i="1" a="1"/>
  <c r="D32" i="1"/>
  <c r="D33" i="1" a="1"/>
  <c r="D33" i="1"/>
  <c r="D34" i="1" a="1"/>
  <c r="D34" i="1"/>
  <c r="D35" i="1" a="1"/>
  <c r="D35" i="1"/>
  <c r="D22" i="1" a="1"/>
  <c r="D22" i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8" i="1" a="1"/>
  <c r="D8" i="1"/>
  <c r="D9" i="1" a="1"/>
  <c r="D9" i="1"/>
  <c r="D7" i="1" a="1"/>
  <c r="D7" i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/>
  <c r="C15" i="1" a="1"/>
  <c r="C15" i="1"/>
  <c r="C16" i="1" a="1"/>
  <c r="C16" i="1"/>
  <c r="C17" i="1" a="1"/>
  <c r="C17" i="1"/>
  <c r="C18" i="1" a="1"/>
  <c r="C18" i="1"/>
  <c r="C19" i="1" a="1"/>
  <c r="C19" i="1"/>
  <c r="C20" i="1" a="1"/>
  <c r="C20" i="1"/>
  <c r="C21" i="1" a="1"/>
  <c r="C21" i="1"/>
  <c r="C22" i="1" a="1"/>
  <c r="C22" i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/>
  <c r="C31" i="1" a="1"/>
  <c r="C31" i="1"/>
  <c r="C32" i="1" a="1"/>
  <c r="C32" i="1"/>
  <c r="C33" i="1" a="1"/>
  <c r="C33" i="1"/>
  <c r="C34" i="1" a="1"/>
  <c r="C34" i="1"/>
  <c r="C35" i="1" a="1"/>
  <c r="C35" i="1"/>
  <c r="C7" i="1" a="1"/>
  <c r="C7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8" i="1"/>
  <c r="B7" i="1"/>
  <c r="B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<sst xmlns="http://schemas.openxmlformats.org/spreadsheetml/2006/main" count="23" uniqueCount="20">
  <si>
    <t>Simulador</t>
  </si>
  <si>
    <t>Salário</t>
  </si>
  <si>
    <t>Rendimento da carteira</t>
  </si>
  <si>
    <t>Sugestão de Aporte</t>
  </si>
  <si>
    <t>Perfil</t>
  </si>
  <si>
    <t>Conservador</t>
  </si>
  <si>
    <t>Anos</t>
  </si>
  <si>
    <t>Meses</t>
  </si>
  <si>
    <t>Patrimônio Acumulado</t>
  </si>
  <si>
    <t>Dividendos Mensais</t>
  </si>
  <si>
    <t>Tipo de fundo</t>
  </si>
  <si>
    <t>Renda Fixa</t>
  </si>
  <si>
    <t>Taxa encontrada</t>
  </si>
  <si>
    <t>Chave</t>
  </si>
  <si>
    <t>Taxa mensal</t>
  </si>
  <si>
    <t>Renda fixa</t>
  </si>
  <si>
    <t>Moderado</t>
  </si>
  <si>
    <t>Misto</t>
  </si>
  <si>
    <t>Arrojado</t>
  </si>
  <si>
    <t>Renda variável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</si>
</sst>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showGridLines="0" tabSelected="1" workbookViewId="0">
      <selection activeCell="F7" sqref="F7"/>
    </sheetView>
  </sheetViews>
  <sheetFormatPr defaultRowHeight="15"/>
  <cols>
    <col min="1" max="1" width="21.42578125" customWidth="1"/>
    <col min="3" max="3" width="20.85546875" customWidth="1"/>
    <col min="4" max="4" width="18" customWidth="1"/>
    <col min="5" max="5" width="13.85546875" customWidth="1"/>
    <col min="6" max="6" width="12" customWidth="1"/>
  </cols>
  <sheetData>
    <row r="1" spans="1:6">
      <c r="A1" t="s">
        <v>0</v>
      </c>
    </row>
    <row r="2" spans="1:6">
      <c r="A2" t="s">
        <v>1</v>
      </c>
      <c r="B2">
        <v>5000</v>
      </c>
    </row>
    <row r="3" spans="1:6">
      <c r="A3" t="s">
        <v>2</v>
      </c>
      <c r="B3">
        <v>8.0000000000000002E-3</v>
      </c>
    </row>
    <row r="4" spans="1:6">
      <c r="A4" t="s">
        <v>3</v>
      </c>
      <c r="B4" s="1">
        <f>B2*30%</f>
        <v>1500</v>
      </c>
    </row>
    <row r="5" spans="1:6">
      <c r="E5" t="s">
        <v>4</v>
      </c>
      <c r="F5" t="s">
        <v>5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>
      <c r="A7">
        <v>2</v>
      </c>
      <c r="B7">
        <f>A7*12</f>
        <v>24</v>
      </c>
      <c r="C7" s="2" cm="1">
        <f t="array" ref="C7">FV(taxa_mensal,B7,-aporte)</f>
        <v>39514.732666679345</v>
      </c>
      <c r="D7" s="2" cm="1">
        <f t="array" ref="D7">C7*taxa_mensal</f>
        <v>316.11786133343475</v>
      </c>
      <c r="E7" t="s">
        <v>12</v>
      </c>
      <c r="F7" s="1">
        <f>VLOOKUP(F5&amp;F6,Apoio!A:D,4,FALSE)</f>
        <v>8.0000000000000002E-3</v>
      </c>
    </row>
    <row r="8" spans="1:6">
      <c r="A8">
        <v>3</v>
      </c>
      <c r="B8">
        <f>A8*12</f>
        <v>36</v>
      </c>
      <c r="C8" s="2" cm="1">
        <f t="array" ref="C8">FV(taxa_mensal,B8,-aporte)</f>
        <v>62293.094396774257</v>
      </c>
      <c r="D8" s="2" cm="1">
        <f t="array" ref="D8">C8*taxa_mensal</f>
        <v>498.34475517419406</v>
      </c>
    </row>
    <row r="9" spans="1:6">
      <c r="A9">
        <v>4</v>
      </c>
      <c r="B9">
        <f t="shared" ref="B9:B21" si="0">A9*12</f>
        <v>48</v>
      </c>
      <c r="C9" s="2" cm="1">
        <f t="array" ref="C9">FV(taxa_mensal,B9,-aporte)</f>
        <v>87357.007187860785</v>
      </c>
      <c r="D9" s="2" cm="1">
        <f t="array" ref="D9">C9*taxa_mensal</f>
        <v>698.8560575028863</v>
      </c>
    </row>
    <row r="10" spans="1:6">
      <c r="A10">
        <v>5</v>
      </c>
      <c r="B10">
        <f t="shared" si="0"/>
        <v>60</v>
      </c>
      <c r="C10" s="2" cm="1">
        <f t="array" ref="C10">FV(taxa_mensal,B10,-aporte)</f>
        <v>114935.80024782033</v>
      </c>
      <c r="D10" s="2" cm="1">
        <f t="array" ref="D10">C10*taxa_mensal</f>
        <v>919.4864019825626</v>
      </c>
    </row>
    <row r="11" spans="1:6">
      <c r="A11">
        <v>6</v>
      </c>
      <c r="B11">
        <f t="shared" si="0"/>
        <v>72</v>
      </c>
      <c r="C11" s="2" cm="1">
        <f t="array" ref="C11">FV(taxa_mensal,B11,-aporte)</f>
        <v>145281.81337768416</v>
      </c>
      <c r="D11" s="2" cm="1">
        <f t="array" ref="D11">C11*taxa_mensal</f>
        <v>1162.2545070214733</v>
      </c>
    </row>
    <row r="12" spans="1:6">
      <c r="A12">
        <v>7</v>
      </c>
      <c r="B12">
        <f t="shared" si="0"/>
        <v>84</v>
      </c>
      <c r="C12" s="2" cm="1">
        <f t="array" ref="C12">FV(taxa_mensal,B12,-aporte)</f>
        <v>178672.70582449151</v>
      </c>
      <c r="D12" s="2" cm="1">
        <f t="array" ref="D12">C12*taxa_mensal</f>
        <v>1429.3816465959321</v>
      </c>
    </row>
    <row r="13" spans="1:6">
      <c r="A13">
        <v>8</v>
      </c>
      <c r="B13">
        <f t="shared" si="0"/>
        <v>96</v>
      </c>
      <c r="C13" s="2" cm="1">
        <f t="array" ref="C13">FV(taxa_mensal,B13,-aporte)</f>
        <v>215413.99680142794</v>
      </c>
      <c r="D13" s="2" cm="1">
        <f t="array" ref="D13">C13*taxa_mensal</f>
        <v>1723.3119744114235</v>
      </c>
    </row>
    <row r="14" spans="1:6">
      <c r="A14">
        <v>9</v>
      </c>
      <c r="B14">
        <f t="shared" si="0"/>
        <v>108</v>
      </c>
      <c r="C14" s="2" cm="1">
        <f t="array" ref="C14">FV(taxa_mensal,B14,-aporte)</f>
        <v>255841.86092043505</v>
      </c>
      <c r="D14" s="2" cm="1">
        <f t="array" ref="D14">C14*taxa_mensal</f>
        <v>2046.7348873634805</v>
      </c>
    </row>
    <row r="15" spans="1:6">
      <c r="A15">
        <v>10</v>
      </c>
      <c r="B15">
        <f t="shared" si="0"/>
        <v>120</v>
      </c>
      <c r="C15" s="2" cm="1">
        <f t="array" ref="C15">FV(taxa_mensal,B15,-aporte)</f>
        <v>300326.20411487721</v>
      </c>
      <c r="D15" s="2" cm="1">
        <f t="array" ref="D15">C15*taxa_mensal</f>
        <v>2402.6096329190177</v>
      </c>
    </row>
    <row r="16" spans="1:6">
      <c r="A16">
        <v>11</v>
      </c>
      <c r="B16">
        <f t="shared" si="0"/>
        <v>132</v>
      </c>
      <c r="C16" s="2" cm="1">
        <f t="array" ref="C16">FV(taxa_mensal,B16,-aporte)</f>
        <v>349274.04819627042</v>
      </c>
      <c r="D16" s="2" cm="1">
        <f t="array" ref="D16">C16*taxa_mensal</f>
        <v>2794.1923855701634</v>
      </c>
    </row>
    <row r="17" spans="1:4">
      <c r="A17">
        <v>12</v>
      </c>
      <c r="B17">
        <f t="shared" si="0"/>
        <v>144</v>
      </c>
      <c r="C17" s="2" cm="1">
        <f t="array" ref="C17">FV(taxa_mensal,B17,-aporte)</f>
        <v>403133.25501301221</v>
      </c>
      <c r="D17" s="2" cm="1">
        <f t="array" ref="D17">C17*taxa_mensal</f>
        <v>3225.0660401040977</v>
      </c>
    </row>
    <row r="18" spans="1:4">
      <c r="A18">
        <v>13</v>
      </c>
      <c r="B18">
        <f t="shared" si="0"/>
        <v>156</v>
      </c>
      <c r="C18" s="2" cm="1">
        <f t="array" ref="C18">FV(taxa_mensal,B18,-aporte)</f>
        <v>462396.62428633386</v>
      </c>
      <c r="D18" s="2" cm="1">
        <f t="array" ref="D18">C18*taxa_mensal</f>
        <v>3699.1729942906709</v>
      </c>
    </row>
    <row r="19" spans="1:4">
      <c r="A19">
        <v>14</v>
      </c>
      <c r="B19">
        <f t="shared" si="0"/>
        <v>168</v>
      </c>
      <c r="C19" s="2" cm="1">
        <f t="array" ref="C19">FV(taxa_mensal,B19,-aporte)</f>
        <v>527606.40261775791</v>
      </c>
      <c r="D19" s="2" cm="1">
        <f t="array" ref="D19">C19*taxa_mensal</f>
        <v>4220.8512209420633</v>
      </c>
    </row>
    <row r="20" spans="1:4">
      <c r="A20">
        <v>15</v>
      </c>
      <c r="B20">
        <f t="shared" si="0"/>
        <v>180</v>
      </c>
      <c r="C20" s="2" cm="1">
        <f t="array" ref="C20">FV(taxa_mensal,B20,-aporte)</f>
        <v>599359.24492447672</v>
      </c>
      <c r="D20" s="2" cm="1">
        <f t="array" ref="D20">C20*taxa_mensal</f>
        <v>4794.8739593958135</v>
      </c>
    </row>
    <row r="21" spans="1:4">
      <c r="A21">
        <v>16</v>
      </c>
      <c r="B21">
        <f t="shared" si="0"/>
        <v>192</v>
      </c>
      <c r="C21" s="2" cm="1">
        <f t="array" ref="C21">FV(taxa_mensal,B21,-aporte)</f>
        <v>678311.67369867268</v>
      </c>
      <c r="D21" s="2" cm="1">
        <f t="array" ref="D21">C21*taxa_mensal</f>
        <v>5426.4933895893819</v>
      </c>
    </row>
    <row r="22" spans="1:4">
      <c r="A22">
        <v>17</v>
      </c>
      <c r="B22">
        <f>A22*12</f>
        <v>204</v>
      </c>
      <c r="C22" s="2" cm="1">
        <f t="array" ref="C22">FV(taxa_mensal,B22,-aporte)</f>
        <v>765186.08604178834</v>
      </c>
      <c r="D22" s="2" cm="1">
        <f t="array" ref="D22">C22*taxa_mensal</f>
        <v>6121.488688334307</v>
      </c>
    </row>
    <row r="23" spans="1:4">
      <c r="A23">
        <v>18</v>
      </c>
      <c r="B23">
        <f>A23*12</f>
        <v>216</v>
      </c>
      <c r="C23" s="2" cm="1">
        <f t="array" ref="C23">FV(taxa_mensal,B23,-aporte)</f>
        <v>860777.36343676993</v>
      </c>
      <c r="D23" s="2" cm="1">
        <f t="array" ref="D23">C23*taxa_mensal</f>
        <v>6886.2189074941598</v>
      </c>
    </row>
    <row r="24" spans="1:4">
      <c r="A24">
        <v>19</v>
      </c>
      <c r="B24">
        <f t="shared" ref="B24:B35" si="1">A24*12</f>
        <v>228</v>
      </c>
      <c r="C24" s="2" cm="1">
        <f t="array" ref="C24">FV(taxa_mensal,B24,-aporte)</f>
        <v>965960.14473622199</v>
      </c>
      <c r="D24" s="2" cm="1">
        <f t="array" ref="D24">C24*taxa_mensal</f>
        <v>7727.6811578897759</v>
      </c>
    </row>
    <row r="25" spans="1:4">
      <c r="A25">
        <v>20</v>
      </c>
      <c r="B25">
        <f t="shared" si="1"/>
        <v>240</v>
      </c>
      <c r="C25" s="2" cm="1">
        <f t="array" ref="C25">FV(taxa_mensal,B25,-aporte)</f>
        <v>1081696.8289126926</v>
      </c>
      <c r="D25" s="2" cm="1">
        <f t="array" ref="D25">C25*taxa_mensal</f>
        <v>8653.5746313015406</v>
      </c>
    </row>
    <row r="26" spans="1:4">
      <c r="A26">
        <v>21</v>
      </c>
      <c r="B26">
        <f t="shared" si="1"/>
        <v>252</v>
      </c>
      <c r="C26" s="2" cm="1">
        <f t="array" ref="C26">FV(taxa_mensal,B26,-aporte)</f>
        <v>1209046.3807944679</v>
      </c>
      <c r="D26" s="2" cm="1">
        <f t="array" ref="D26">C26*taxa_mensal</f>
        <v>9672.3710463557436</v>
      </c>
    </row>
    <row r="27" spans="1:4">
      <c r="A27">
        <v>22</v>
      </c>
      <c r="B27">
        <f t="shared" si="1"/>
        <v>264</v>
      </c>
      <c r="C27" s="2" cm="1">
        <f t="array" ref="C27">FV(taxa_mensal,B27,-aporte)</f>
        <v>1349174.0203573974</v>
      </c>
      <c r="D27" s="2" cm="1">
        <f t="array" ref="D27">C27*taxa_mensal</f>
        <v>10793.39216285918</v>
      </c>
    </row>
    <row r="28" spans="1:4">
      <c r="A28">
        <v>23</v>
      </c>
      <c r="B28">
        <f t="shared" si="1"/>
        <v>276</v>
      </c>
      <c r="C28" s="2" cm="1">
        <f t="array" ref="C28">FV(taxa_mensal,B28,-aporte)</f>
        <v>1503361.8842275983</v>
      </c>
      <c r="D28" s="2" cm="1">
        <f t="array" ref="D28">C28*taxa_mensal</f>
        <v>12026.895073820786</v>
      </c>
    </row>
    <row r="29" spans="1:4">
      <c r="A29">
        <v>24</v>
      </c>
      <c r="B29">
        <f t="shared" si="1"/>
        <v>288</v>
      </c>
      <c r="C29" s="2" cm="1">
        <f t="array" ref="C29">FV(taxa_mensal,B29,-aporte)</f>
        <v>1673020.7569454184</v>
      </c>
      <c r="D29" s="2" cm="1">
        <f t="array" ref="D29">C29*taxa_mensal</f>
        <v>13384.166055563348</v>
      </c>
    </row>
    <row r="30" spans="1:4">
      <c r="A30">
        <v>25</v>
      </c>
      <c r="B30">
        <f t="shared" si="1"/>
        <v>300</v>
      </c>
      <c r="C30" s="2" cm="1">
        <f t="array" ref="C30">FV(taxa_mensal,B30,-aporte)</f>
        <v>1859702.9793290987</v>
      </c>
      <c r="D30" s="2" cm="1">
        <f t="array" ref="D30">C30*taxa_mensal</f>
        <v>14877.62383463279</v>
      </c>
    </row>
    <row r="31" spans="1:4">
      <c r="A31">
        <v>26</v>
      </c>
      <c r="B31">
        <f t="shared" si="1"/>
        <v>312</v>
      </c>
      <c r="C31" s="2" cm="1">
        <f t="array" ref="C31">FV(taxa_mensal,B31,-aporte)</f>
        <v>2065116.6520467843</v>
      </c>
      <c r="D31" s="2" cm="1">
        <f t="array" ref="D31">C31*taxa_mensal</f>
        <v>16520.933216374273</v>
      </c>
    </row>
    <row r="32" spans="1:4">
      <c r="A32">
        <v>27</v>
      </c>
      <c r="B32">
        <f t="shared" si="1"/>
        <v>324</v>
      </c>
      <c r="C32" s="2" cm="1">
        <f t="array" ref="C32">FV(taxa_mensal,B32,-aporte)</f>
        <v>2291141.2643563994</v>
      </c>
      <c r="D32" s="2" cm="1">
        <f t="array" ref="D32">C32*taxa_mensal</f>
        <v>18329.130114851196</v>
      </c>
    </row>
    <row r="33" spans="1:4">
      <c r="A33">
        <v>28</v>
      </c>
      <c r="B33">
        <f t="shared" si="1"/>
        <v>336</v>
      </c>
      <c r="C33" s="2" cm="1">
        <f t="array" ref="C33">FV(taxa_mensal,B33,-aporte)</f>
        <v>2539844.8910128586</v>
      </c>
      <c r="D33" s="2" cm="1">
        <f t="array" ref="D33">C33*taxa_mensal</f>
        <v>20318.759128102869</v>
      </c>
    </row>
    <row r="34" spans="1:4">
      <c r="A34">
        <v>29</v>
      </c>
      <c r="B34">
        <f t="shared" si="1"/>
        <v>348</v>
      </c>
      <c r="C34" s="2" cm="1">
        <f t="array" ref="C34">FV(taxa_mensal,B34,-aporte)</f>
        <v>2813503.1146904966</v>
      </c>
      <c r="D34" s="2" cm="1">
        <f t="array" ref="D34">C34*taxa_mensal</f>
        <v>22508.024917523973</v>
      </c>
    </row>
    <row r="35" spans="1:4">
      <c r="A35">
        <v>30</v>
      </c>
      <c r="B35">
        <f t="shared" si="1"/>
        <v>360</v>
      </c>
      <c r="C35" s="2" cm="1">
        <f t="array" ref="C35">FV(taxa_mensal,B35,-aporte)</f>
        <v>3114619.8470566277</v>
      </c>
      <c r="D35" s="2" cm="1">
        <f t="array" ref="D35">C35*taxa_mensal</f>
        <v>24916.958776453022</v>
      </c>
    </row>
    <row r="36" spans="1:4">
      <c r="C36" s="2"/>
    </row>
    <row r="37" spans="1:4">
      <c r="C37" s="2"/>
    </row>
    <row r="38" spans="1:4">
      <c r="C38" s="2"/>
    </row>
    <row r="39" spans="1:4">
      <c r="C39" s="2"/>
    </row>
    <row r="40" spans="1:4">
      <c r="C40" s="2"/>
    </row>
    <row r="41" spans="1:4">
      <c r="C41" s="2"/>
    </row>
  </sheetData>
  <dataValidations count="3">
    <dataValidation type="list" allowBlank="1" showInputMessage="1" showErrorMessage="1" sqref="G5:H5" xr:uid="{09B5BFAF-E33E-4385-8BAA-81F888C5A30F}">
      <formula1>"Conservador;Moderado;Arrojado"</formula1>
    </dataValidation>
    <dataValidation type="list" allowBlank="1" showInputMessage="1" showErrorMessage="1" sqref="F6" xr:uid="{B2FAB22B-CE15-417C-B63C-23D9ADB6F427}">
      <formula1>"Renda Fixa,Misto,Renda variável"</formula1>
    </dataValidation>
    <dataValidation type="list" allowBlank="1" showInputMessage="1" showErrorMessage="1" sqref="F5" xr:uid="{97568EED-2C5D-4E35-A499-4A33467FFAE9}">
      <formula1>"Conservador,Moderado,Arrojado"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6B99-DB33-4594-BC7C-64FF90A50CE7}">
  <dimension ref="A1:D4"/>
  <sheetViews>
    <sheetView workbookViewId="0">
      <selection activeCell="A5" sqref="A5"/>
    </sheetView>
  </sheetViews>
  <sheetFormatPr defaultRowHeight="15"/>
  <cols>
    <col min="1" max="1" width="21.7109375" customWidth="1"/>
    <col min="2" max="2" width="14.5703125" customWidth="1"/>
    <col min="3" max="3" width="13.85546875" customWidth="1"/>
    <col min="4" max="4" width="20" customWidth="1"/>
  </cols>
  <sheetData>
    <row r="1" spans="1:4">
      <c r="A1" t="s">
        <v>13</v>
      </c>
      <c r="B1" t="s">
        <v>4</v>
      </c>
      <c r="C1" t="s">
        <v>10</v>
      </c>
      <c r="D1" t="s">
        <v>14</v>
      </c>
    </row>
    <row r="2" spans="1:4">
      <c r="A2" t="str">
        <f>B2&amp;C2</f>
        <v>ConservadorRenda fixa</v>
      </c>
      <c r="B2" t="s">
        <v>5</v>
      </c>
      <c r="C2" t="s">
        <v>15</v>
      </c>
      <c r="D2">
        <v>8.0000000000000002E-3</v>
      </c>
    </row>
    <row r="3" spans="1:4">
      <c r="A3" t="str">
        <f>B3&amp;C3</f>
        <v>ModeradoMisto</v>
      </c>
      <c r="B3" t="s">
        <v>16</v>
      </c>
      <c r="C3" t="s">
        <v>17</v>
      </c>
      <c r="D3">
        <v>0.01</v>
      </c>
    </row>
    <row r="4" spans="1:4">
      <c r="A4" t="str">
        <f>B4&amp;C4</f>
        <v>ArrojadoRenda variável</v>
      </c>
      <c r="B4" t="s">
        <v>18</v>
      </c>
      <c r="C4" t="s">
        <v>19</v>
      </c>
      <c r="D4">
        <v>1.2999999999999999E-2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2026-08-31T11:45:16Z</dcterms:created>
  <dcterms:modified xsi:type="dcterms:W3CDTF">2026-10-13T14:02:15Z</dcterms:modified>
  <cp:category/>
  <cp:contentStatus/>
</cp:coreProperties>
</file>